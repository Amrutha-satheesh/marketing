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R (₹) - Base Tracker" sheetId="1" state="visible" r:id="rId1"/>
    <sheet xmlns:r="http://schemas.openxmlformats.org/officeDocument/2006/relationships" name="USD ($) - Converted" sheetId="2" state="visible" r:id="rId2"/>
    <sheet xmlns:r="http://schemas.openxmlformats.org/officeDocument/2006/relationships" name="AED - Converted" sheetId="3" state="visible" r:id="rId3"/>
    <sheet xmlns:r="http://schemas.openxmlformats.org/officeDocument/2006/relationships" name="Rates &amp; Overh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$₹-en-IN]#,##,##0.00"/>
    <numFmt numFmtId="165" formatCode="#,##0.0"/>
    <numFmt numFmtId="166" formatCode="0.0%"/>
    <numFmt numFmtId="167" formatCode="$#,##0.00"/>
    <numFmt numFmtId="168" formatCode="&quot;AED &quot;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color rgb="000F172A"/>
      <sz val="11"/>
    </font>
    <font>
      <name val="Calibri"/>
      <b val="1"/>
      <color rgb="001E3A8A"/>
      <sz val="14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4" fontId="5" fillId="3" borderId="1" pivotButton="0" quotePrefix="0" xfId="0"/>
    <xf numFmtId="166" fontId="5" fillId="3" borderId="1" pivotButton="0" quotePrefix="0" xfId="0"/>
    <xf numFmtId="0" fontId="4" fillId="4" borderId="1" applyAlignment="1" pivotButton="0" quotePrefix="0" xfId="0">
      <alignment horizontal="left" vertical="center"/>
    </xf>
    <xf numFmtId="164" fontId="4" fillId="4" borderId="1" pivotButton="0" quotePrefix="0" xfId="0"/>
    <xf numFmtId="3" fontId="4" fillId="4" borderId="1" pivotButton="0" quotePrefix="0" xfId="0"/>
    <xf numFmtId="165" fontId="4" fillId="4" borderId="1" pivotButton="0" quotePrefix="0" xfId="0"/>
    <xf numFmtId="0" fontId="6" fillId="5" borderId="2" pivotButton="0" quotePrefix="0" xfId="0"/>
    <xf numFmtId="164" fontId="6" fillId="5" borderId="2" pivotButton="0" quotePrefix="0" xfId="0"/>
    <xf numFmtId="3" fontId="6" fillId="5" borderId="2" pivotButton="0" quotePrefix="0" xfId="0"/>
    <xf numFmtId="0" fontId="6" fillId="5" borderId="2" applyAlignment="1" pivotButton="0" quotePrefix="0" xfId="0">
      <alignment horizontal="center"/>
    </xf>
    <xf numFmtId="165" fontId="6" fillId="5" borderId="2" pivotButton="0" quotePrefix="0" xfId="0"/>
    <xf numFmtId="166" fontId="6" fillId="5" borderId="2" pivotButton="0" quotePrefix="0" xfId="0"/>
    <xf numFmtId="167" fontId="4" fillId="0" borderId="1" pivotButton="0" quotePrefix="0" xfId="0"/>
    <xf numFmtId="167" fontId="5" fillId="3" borderId="1" pivotButton="0" quotePrefix="0" xfId="0"/>
    <xf numFmtId="167" fontId="4" fillId="4" borderId="1" pivotButton="0" quotePrefix="0" xfId="0"/>
    <xf numFmtId="167" fontId="6" fillId="5" borderId="2" pivotButton="0" quotePrefix="0" xfId="0"/>
    <xf numFmtId="168" fontId="4" fillId="0" borderId="1" pivotButton="0" quotePrefix="0" xfId="0"/>
    <xf numFmtId="168" fontId="5" fillId="3" borderId="1" pivotButton="0" quotePrefix="0" xfId="0"/>
    <xf numFmtId="168" fontId="4" fillId="4" borderId="1" pivotButton="0" quotePrefix="0" xfId="0"/>
    <xf numFmtId="168" fontId="6" fillId="5" borderId="2" pivotButton="0" quotePrefix="0" xfId="0"/>
    <xf numFmtId="0" fontId="7" fillId="0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6" borderId="0" pivotButton="0" quotePrefix="0" xfId="0"/>
    <xf numFmtId="164" fontId="9" fillId="0" borderId="0" pivotButton="0" quotePrefix="0" xfId="0"/>
    <xf numFmtId="167" fontId="9" fillId="0" borderId="0" pivotButton="0" quotePrefix="0" xfId="0"/>
    <xf numFmtId="168" fontId="9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168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MARKETING AGENCY - FINANCIAL TRACKER [BASE CURRENCY]</t>
        </is>
      </c>
    </row>
    <row r="2">
      <c r="A2" s="2" t="inlineStr">
        <is>
          <t>Currency: ₹ (Primary Agency Accounting Base) | 4 Active Employees</t>
        </is>
      </c>
    </row>
    <row r="3"/>
    <row r="4" ht="28" customHeight="1">
      <c r="A4" s="3" t="inlineStr">
        <is>
          <t>Employee Name</t>
        </is>
      </c>
      <c r="B4" s="3" t="inlineStr">
        <is>
          <t>Monthly Salary (₹)</t>
        </is>
      </c>
      <c r="C4" s="3" t="inlineStr">
        <is>
          <t>Cost (Rent/Extras) (₹)</t>
        </is>
      </c>
      <c r="D4" s="3" t="inlineStr">
        <is>
          <t>Total Working Hours</t>
        </is>
      </c>
      <c r="E4" s="3" t="inlineStr">
        <is>
          <t>Per Hour Value (₹)</t>
        </is>
      </c>
      <c r="F4" s="3" t="inlineStr">
        <is>
          <t>Project Name</t>
        </is>
      </c>
      <c r="G4" s="3" t="inlineStr">
        <is>
          <t>Project Time (Hours)</t>
        </is>
      </c>
      <c r="H4" s="3" t="inlineStr">
        <is>
          <t>Project Value (₹)</t>
        </is>
      </c>
      <c r="I4" s="3" t="inlineStr">
        <is>
          <t>Project Labor Cost (₹)</t>
        </is>
      </c>
      <c r="J4" s="3" t="inlineStr">
        <is>
          <t>Margin of Project (₹)</t>
        </is>
      </c>
      <c r="K4" s="3" t="inlineStr">
        <is>
          <t>Margin %</t>
        </is>
      </c>
    </row>
    <row r="5" ht="22" customHeight="1">
      <c r="A5" s="4" t="inlineStr">
        <is>
          <t>Alex Morgan (SEO Lead)</t>
        </is>
      </c>
      <c r="B5" s="5" t="n">
        <v>45000</v>
      </c>
      <c r="C5" s="5" t="n">
        <v>6000</v>
      </c>
      <c r="D5" s="6" t="n">
        <v>160</v>
      </c>
      <c r="E5" s="5">
        <f>B5/D5</f>
        <v/>
      </c>
      <c r="F5" s="4" t="inlineStr">
        <is>
          <t>Tech Corp SEO &amp; Organic Growth</t>
        </is>
      </c>
      <c r="G5" s="7" t="n">
        <v>80</v>
      </c>
      <c r="H5" s="5" t="n">
        <v>55000</v>
      </c>
      <c r="I5" s="5">
        <f>G5*E5</f>
        <v/>
      </c>
      <c r="J5" s="8">
        <f>H5-I5</f>
        <v/>
      </c>
      <c r="K5" s="9">
        <f>IF(H5&gt;0, J5/H5, 0)</f>
        <v/>
      </c>
    </row>
    <row r="6" ht="22" customHeight="1">
      <c r="A6" s="10" t="inlineStr">
        <is>
          <t>Sarah Jenkins (Paid Ads Manager)</t>
        </is>
      </c>
      <c r="B6" s="11" t="n">
        <v>40000</v>
      </c>
      <c r="C6" s="11" t="n">
        <v>6000</v>
      </c>
      <c r="D6" s="12" t="n">
        <v>160</v>
      </c>
      <c r="E6" s="11">
        <f>B6/D6</f>
        <v/>
      </c>
      <c r="F6" s="10" t="inlineStr">
        <is>
          <t>Q4 E-Commerce Meta &amp; Google Ads</t>
        </is>
      </c>
      <c r="G6" s="13" t="n">
        <v>90</v>
      </c>
      <c r="H6" s="11" t="n">
        <v>52000</v>
      </c>
      <c r="I6" s="11">
        <f>G6*E6</f>
        <v/>
      </c>
      <c r="J6" s="8">
        <f>H6-I6</f>
        <v/>
      </c>
      <c r="K6" s="9">
        <f>IF(H6&gt;0, J6/H6, 0)</f>
        <v/>
      </c>
    </row>
    <row r="7" ht="22" customHeight="1">
      <c r="A7" s="4" t="inlineStr">
        <is>
          <t>David Kim (Content Strategist)</t>
        </is>
      </c>
      <c r="B7" s="5" t="n">
        <v>35000</v>
      </c>
      <c r="C7" s="5" t="n">
        <v>5000</v>
      </c>
      <c r="D7" s="6" t="n">
        <v>160</v>
      </c>
      <c r="E7" s="5">
        <f>B7/D7</f>
        <v/>
      </c>
      <c r="F7" s="4" t="inlineStr">
        <is>
          <t>SaaS Lead Gen Content Hub</t>
        </is>
      </c>
      <c r="G7" s="7" t="n">
        <v>70</v>
      </c>
      <c r="H7" s="5" t="n">
        <v>40000</v>
      </c>
      <c r="I7" s="5">
        <f>G7*E7</f>
        <v/>
      </c>
      <c r="J7" s="8">
        <f>H7-I7</f>
        <v/>
      </c>
      <c r="K7" s="9">
        <f>IF(H7&gt;0, J7/H7, 0)</f>
        <v/>
      </c>
    </row>
    <row r="8" ht="22" customHeight="1">
      <c r="A8" s="10" t="inlineStr">
        <is>
          <t>Elena Rostova (Creative &amp; Social Lead)</t>
        </is>
      </c>
      <c r="B8" s="11" t="n">
        <v>38000</v>
      </c>
      <c r="C8" s="11" t="n">
        <v>5000</v>
      </c>
      <c r="D8" s="12" t="n">
        <v>160</v>
      </c>
      <c r="E8" s="11">
        <f>B8/D8</f>
        <v/>
      </c>
      <c r="F8" s="10" t="inlineStr">
        <is>
          <t>Fintech Brand Refresh &amp; Social</t>
        </is>
      </c>
      <c r="G8" s="13" t="n">
        <v>75</v>
      </c>
      <c r="H8" s="11" t="n">
        <v>45000</v>
      </c>
      <c r="I8" s="11">
        <f>G8*E8</f>
        <v/>
      </c>
      <c r="J8" s="8">
        <f>H8-I8</f>
        <v/>
      </c>
      <c r="K8" s="9">
        <f>IF(H8&gt;0, J8/H8, 0)</f>
        <v/>
      </c>
    </row>
    <row r="9" ht="25" customHeight="1">
      <c r="A9" s="14" t="inlineStr">
        <is>
          <t>TOTAL / SUMMARY</t>
        </is>
      </c>
      <c r="B9" s="15">
        <f>SUM(B5:B8)</f>
        <v/>
      </c>
      <c r="C9" s="15">
        <f>SUM(C5:C8)</f>
        <v/>
      </c>
      <c r="D9" s="16">
        <f>SUM(D5:D8)</f>
        <v/>
      </c>
      <c r="E9" s="15">
        <f>AVERAGE(E5:E8)</f>
        <v/>
      </c>
      <c r="F9" s="17" t="inlineStr">
        <is>
          <t>-</t>
        </is>
      </c>
      <c r="G9" s="18">
        <f>SUM(G5:G8)</f>
        <v/>
      </c>
      <c r="H9" s="15">
        <f>SUM(H5:H8)</f>
        <v/>
      </c>
      <c r="I9" s="15">
        <f>SUM(I5:I8)</f>
        <v/>
      </c>
      <c r="J9" s="15">
        <f>SUM(J5:J8)</f>
        <v/>
      </c>
      <c r="K9" s="19">
        <f>IF(H9&gt;0, J9/H9, 0)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MARKETING AGENCY - FINANCIAL TRACKER [CONVERTED CURRENCY]</t>
        </is>
      </c>
    </row>
    <row r="2">
      <c r="A2" s="2" t="inlineStr">
        <is>
          <t>Currency: $ (Converted from Base INR at rate ₹94.94 per 1 $)</t>
        </is>
      </c>
    </row>
    <row r="3"/>
    <row r="4" ht="28" customHeight="1">
      <c r="A4" s="3" t="inlineStr">
        <is>
          <t>Employee Name</t>
        </is>
      </c>
      <c r="B4" s="3" t="inlineStr">
        <is>
          <t>Monthly Salary ($)</t>
        </is>
      </c>
      <c r="C4" s="3" t="inlineStr">
        <is>
          <t>Cost (Rent/Extras) ($)</t>
        </is>
      </c>
      <c r="D4" s="3" t="inlineStr">
        <is>
          <t>Total Working Hours</t>
        </is>
      </c>
      <c r="E4" s="3" t="inlineStr">
        <is>
          <t>Per Hour Value ($)</t>
        </is>
      </c>
      <c r="F4" s="3" t="inlineStr">
        <is>
          <t>Project Name</t>
        </is>
      </c>
      <c r="G4" s="3" t="inlineStr">
        <is>
          <t>Project Time (Hours)</t>
        </is>
      </c>
      <c r="H4" s="3" t="inlineStr">
        <is>
          <t>Project Value ($)</t>
        </is>
      </c>
      <c r="I4" s="3" t="inlineStr">
        <is>
          <t>Project Labor Cost ($)</t>
        </is>
      </c>
      <c r="J4" s="3" t="inlineStr">
        <is>
          <t>Margin of Project ($)</t>
        </is>
      </c>
      <c r="K4" s="3" t="inlineStr">
        <is>
          <t>Margin %</t>
        </is>
      </c>
    </row>
    <row r="5" ht="22" customHeight="1">
      <c r="A5" s="4" t="inlineStr">
        <is>
          <t>Alex Morgan (SEO Lead)</t>
        </is>
      </c>
      <c r="B5" s="20" t="n">
        <v>473.98</v>
      </c>
      <c r="C5" s="20" t="n">
        <v>63.2</v>
      </c>
      <c r="D5" s="6" t="n">
        <v>160</v>
      </c>
      <c r="E5" s="20">
        <f>B5/D5</f>
        <v/>
      </c>
      <c r="F5" s="4" t="inlineStr">
        <is>
          <t>Tech Corp SEO &amp; Organic Growth</t>
        </is>
      </c>
      <c r="G5" s="7" t="n">
        <v>80</v>
      </c>
      <c r="H5" s="20" t="n">
        <v>579.3099999999999</v>
      </c>
      <c r="I5" s="20">
        <f>G5*E5</f>
        <v/>
      </c>
      <c r="J5" s="21">
        <f>H5-I5</f>
        <v/>
      </c>
      <c r="K5" s="9">
        <f>IF(H5&gt;0, J5/H5, 0)</f>
        <v/>
      </c>
    </row>
    <row r="6" ht="22" customHeight="1">
      <c r="A6" s="10" t="inlineStr">
        <is>
          <t>Sarah Jenkins (Paid Ads Manager)</t>
        </is>
      </c>
      <c r="B6" s="22" t="n">
        <v>421.32</v>
      </c>
      <c r="C6" s="22" t="n">
        <v>63.2</v>
      </c>
      <c r="D6" s="12" t="n">
        <v>160</v>
      </c>
      <c r="E6" s="22">
        <f>B6/D6</f>
        <v/>
      </c>
      <c r="F6" s="10" t="inlineStr">
        <is>
          <t>Q4 E-Commerce Meta &amp; Google Ads</t>
        </is>
      </c>
      <c r="G6" s="13" t="n">
        <v>90</v>
      </c>
      <c r="H6" s="22" t="n">
        <v>547.71</v>
      </c>
      <c r="I6" s="22">
        <f>G6*E6</f>
        <v/>
      </c>
      <c r="J6" s="21">
        <f>H6-I6</f>
        <v/>
      </c>
      <c r="K6" s="9">
        <f>IF(H6&gt;0, J6/H6, 0)</f>
        <v/>
      </c>
    </row>
    <row r="7" ht="22" customHeight="1">
      <c r="A7" s="4" t="inlineStr">
        <is>
          <t>David Kim (Content Strategist)</t>
        </is>
      </c>
      <c r="B7" s="20" t="n">
        <v>368.65</v>
      </c>
      <c r="C7" s="20" t="n">
        <v>52.66</v>
      </c>
      <c r="D7" s="6" t="n">
        <v>160</v>
      </c>
      <c r="E7" s="20">
        <f>B7/D7</f>
        <v/>
      </c>
      <c r="F7" s="4" t="inlineStr">
        <is>
          <t>SaaS Lead Gen Content Hub</t>
        </is>
      </c>
      <c r="G7" s="7" t="n">
        <v>70</v>
      </c>
      <c r="H7" s="20" t="n">
        <v>421.32</v>
      </c>
      <c r="I7" s="20">
        <f>G7*E7</f>
        <v/>
      </c>
      <c r="J7" s="21">
        <f>H7-I7</f>
        <v/>
      </c>
      <c r="K7" s="9">
        <f>IF(H7&gt;0, J7/H7, 0)</f>
        <v/>
      </c>
    </row>
    <row r="8" ht="22" customHeight="1">
      <c r="A8" s="10" t="inlineStr">
        <is>
          <t>Elena Rostova (Creative &amp; Social Lead)</t>
        </is>
      </c>
      <c r="B8" s="22" t="n">
        <v>400.25</v>
      </c>
      <c r="C8" s="22" t="n">
        <v>52.66</v>
      </c>
      <c r="D8" s="12" t="n">
        <v>160</v>
      </c>
      <c r="E8" s="22">
        <f>B8/D8</f>
        <v/>
      </c>
      <c r="F8" s="10" t="inlineStr">
        <is>
          <t>Fintech Brand Refresh &amp; Social</t>
        </is>
      </c>
      <c r="G8" s="13" t="n">
        <v>75</v>
      </c>
      <c r="H8" s="22" t="n">
        <v>473.98</v>
      </c>
      <c r="I8" s="22">
        <f>G8*E8</f>
        <v/>
      </c>
      <c r="J8" s="21">
        <f>H8-I8</f>
        <v/>
      </c>
      <c r="K8" s="9">
        <f>IF(H8&gt;0, J8/H8, 0)</f>
        <v/>
      </c>
    </row>
    <row r="9" ht="25" customHeight="1">
      <c r="A9" s="14" t="inlineStr">
        <is>
          <t>TOTAL / SUMMARY</t>
        </is>
      </c>
      <c r="B9" s="23">
        <f>SUM(B5:B8)</f>
        <v/>
      </c>
      <c r="C9" s="23">
        <f>SUM(C5:C8)</f>
        <v/>
      </c>
      <c r="D9" s="16">
        <f>SUM(D5:D8)</f>
        <v/>
      </c>
      <c r="E9" s="23">
        <f>AVERAGE(E5:E8)</f>
        <v/>
      </c>
      <c r="F9" s="17" t="inlineStr">
        <is>
          <t>-</t>
        </is>
      </c>
      <c r="G9" s="18">
        <f>SUM(G5:G8)</f>
        <v/>
      </c>
      <c r="H9" s="23">
        <f>SUM(H5:H8)</f>
        <v/>
      </c>
      <c r="I9" s="23">
        <f>SUM(I5:I8)</f>
        <v/>
      </c>
      <c r="J9" s="23">
        <f>SUM(J5:J8)</f>
        <v/>
      </c>
      <c r="K9" s="19">
        <f>IF(H9&gt;0, J9/H9, 0)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MARKETING AGENCY - FINANCIAL TRACKER [CONVERTED CURRENCY]</t>
        </is>
      </c>
    </row>
    <row r="2">
      <c r="A2" s="2" t="inlineStr">
        <is>
          <t>Currency: AED  (Converted from Base INR at rate ₹25.85 per 1 AED )</t>
        </is>
      </c>
    </row>
    <row r="3"/>
    <row r="4" ht="28" customHeight="1">
      <c r="A4" s="3" t="inlineStr">
        <is>
          <t>Employee Name</t>
        </is>
      </c>
      <c r="B4" s="3" t="inlineStr">
        <is>
          <t>Monthly Salary (AED )</t>
        </is>
      </c>
      <c r="C4" s="3" t="inlineStr">
        <is>
          <t>Cost (Rent/Extras) (AED )</t>
        </is>
      </c>
      <c r="D4" s="3" t="inlineStr">
        <is>
          <t>Total Working Hours</t>
        </is>
      </c>
      <c r="E4" s="3" t="inlineStr">
        <is>
          <t>Per Hour Value (AED )</t>
        </is>
      </c>
      <c r="F4" s="3" t="inlineStr">
        <is>
          <t>Project Name</t>
        </is>
      </c>
      <c r="G4" s="3" t="inlineStr">
        <is>
          <t>Project Time (Hours)</t>
        </is>
      </c>
      <c r="H4" s="3" t="inlineStr">
        <is>
          <t>Project Value (AED )</t>
        </is>
      </c>
      <c r="I4" s="3" t="inlineStr">
        <is>
          <t>Project Labor Cost (AED )</t>
        </is>
      </c>
      <c r="J4" s="3" t="inlineStr">
        <is>
          <t>Margin of Project (AED )</t>
        </is>
      </c>
      <c r="K4" s="3" t="inlineStr">
        <is>
          <t>Margin %</t>
        </is>
      </c>
    </row>
    <row r="5" ht="22" customHeight="1">
      <c r="A5" s="4" t="inlineStr">
        <is>
          <t>Alex Morgan (SEO Lead)</t>
        </is>
      </c>
      <c r="B5" s="24" t="n">
        <v>1740.81</v>
      </c>
      <c r="C5" s="24" t="n">
        <v>232.11</v>
      </c>
      <c r="D5" s="6" t="n">
        <v>160</v>
      </c>
      <c r="E5" s="24">
        <f>B5/D5</f>
        <v/>
      </c>
      <c r="F5" s="4" t="inlineStr">
        <is>
          <t>Tech Corp SEO &amp; Organic Growth</t>
        </is>
      </c>
      <c r="G5" s="7" t="n">
        <v>80</v>
      </c>
      <c r="H5" s="24" t="n">
        <v>2127.66</v>
      </c>
      <c r="I5" s="24">
        <f>G5*E5</f>
        <v/>
      </c>
      <c r="J5" s="25">
        <f>H5-I5</f>
        <v/>
      </c>
      <c r="K5" s="9">
        <f>IF(H5&gt;0, J5/H5, 0)</f>
        <v/>
      </c>
    </row>
    <row r="6" ht="22" customHeight="1">
      <c r="A6" s="10" t="inlineStr">
        <is>
          <t>Sarah Jenkins (Paid Ads Manager)</t>
        </is>
      </c>
      <c r="B6" s="26" t="n">
        <v>1547.39</v>
      </c>
      <c r="C6" s="26" t="n">
        <v>232.11</v>
      </c>
      <c r="D6" s="12" t="n">
        <v>160</v>
      </c>
      <c r="E6" s="26">
        <f>B6/D6</f>
        <v/>
      </c>
      <c r="F6" s="10" t="inlineStr">
        <is>
          <t>Q4 E-Commerce Meta &amp; Google Ads</t>
        </is>
      </c>
      <c r="G6" s="13" t="n">
        <v>90</v>
      </c>
      <c r="H6" s="26" t="n">
        <v>2011.61</v>
      </c>
      <c r="I6" s="26">
        <f>G6*E6</f>
        <v/>
      </c>
      <c r="J6" s="25">
        <f>H6-I6</f>
        <v/>
      </c>
      <c r="K6" s="9">
        <f>IF(H6&gt;0, J6/H6, 0)</f>
        <v/>
      </c>
    </row>
    <row r="7" ht="22" customHeight="1">
      <c r="A7" s="4" t="inlineStr">
        <is>
          <t>David Kim (Content Strategist)</t>
        </is>
      </c>
      <c r="B7" s="24" t="n">
        <v>1353.97</v>
      </c>
      <c r="C7" s="24" t="n">
        <v>193.42</v>
      </c>
      <c r="D7" s="6" t="n">
        <v>160</v>
      </c>
      <c r="E7" s="24">
        <f>B7/D7</f>
        <v/>
      </c>
      <c r="F7" s="4" t="inlineStr">
        <is>
          <t>SaaS Lead Gen Content Hub</t>
        </is>
      </c>
      <c r="G7" s="7" t="n">
        <v>70</v>
      </c>
      <c r="H7" s="24" t="n">
        <v>1547.39</v>
      </c>
      <c r="I7" s="24">
        <f>G7*E7</f>
        <v/>
      </c>
      <c r="J7" s="25">
        <f>H7-I7</f>
        <v/>
      </c>
      <c r="K7" s="9">
        <f>IF(H7&gt;0, J7/H7, 0)</f>
        <v/>
      </c>
    </row>
    <row r="8" ht="22" customHeight="1">
      <c r="A8" s="10" t="inlineStr">
        <is>
          <t>Elena Rostova (Creative &amp; Social Lead)</t>
        </is>
      </c>
      <c r="B8" s="26" t="n">
        <v>1470.02</v>
      </c>
      <c r="C8" s="26" t="n">
        <v>193.42</v>
      </c>
      <c r="D8" s="12" t="n">
        <v>160</v>
      </c>
      <c r="E8" s="26">
        <f>B8/D8</f>
        <v/>
      </c>
      <c r="F8" s="10" t="inlineStr">
        <is>
          <t>Fintech Brand Refresh &amp; Social</t>
        </is>
      </c>
      <c r="G8" s="13" t="n">
        <v>75</v>
      </c>
      <c r="H8" s="26" t="n">
        <v>1740.81</v>
      </c>
      <c r="I8" s="26">
        <f>G8*E8</f>
        <v/>
      </c>
      <c r="J8" s="25">
        <f>H8-I8</f>
        <v/>
      </c>
      <c r="K8" s="9">
        <f>IF(H8&gt;0, J8/H8, 0)</f>
        <v/>
      </c>
    </row>
    <row r="9" ht="25" customHeight="1">
      <c r="A9" s="14" t="inlineStr">
        <is>
          <t>TOTAL / SUMMARY</t>
        </is>
      </c>
      <c r="B9" s="27">
        <f>SUM(B5:B8)</f>
        <v/>
      </c>
      <c r="C9" s="27">
        <f>SUM(C5:C8)</f>
        <v/>
      </c>
      <c r="D9" s="16">
        <f>SUM(D5:D8)</f>
        <v/>
      </c>
      <c r="E9" s="27">
        <f>AVERAGE(E5:E8)</f>
        <v/>
      </c>
      <c r="F9" s="17" t="inlineStr">
        <is>
          <t>-</t>
        </is>
      </c>
      <c r="G9" s="18">
        <f>SUM(G5:G8)</f>
        <v/>
      </c>
      <c r="H9" s="27">
        <f>SUM(H5:H8)</f>
        <v/>
      </c>
      <c r="I9" s="27">
        <f>SUM(I5:I8)</f>
        <v/>
      </c>
      <c r="J9" s="27">
        <f>SUM(J5:J8)</f>
        <v/>
      </c>
      <c r="K9" s="19">
        <f>IF(H9&gt;0, J9/H9, 0)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28" t="inlineStr">
        <is>
          <t>CURRENCY EXCHANGE RATES &amp; CHANGEABLE OVERHEAD EXPENSES (BASE: INR ₹)</t>
        </is>
      </c>
    </row>
    <row r="3">
      <c r="A3" s="29" t="inlineStr">
        <is>
          <t>Currency</t>
        </is>
      </c>
      <c r="B3" s="29" t="inlineStr">
        <is>
          <t>Symbol</t>
        </is>
      </c>
      <c r="C3" s="29" t="inlineStr">
        <is>
          <t>Conversion vs 1 Unit</t>
        </is>
      </c>
    </row>
    <row r="4">
      <c r="A4" s="30" t="inlineStr">
        <is>
          <t>INR (Base)</t>
        </is>
      </c>
      <c r="B4" s="31" t="inlineStr">
        <is>
          <t>₹</t>
        </is>
      </c>
      <c r="C4" s="30" t="inlineStr">
        <is>
          <t>1.00 INR (Base Agency Currency)</t>
        </is>
      </c>
    </row>
    <row r="5">
      <c r="A5" s="30" t="inlineStr">
        <is>
          <t>USD</t>
        </is>
      </c>
      <c r="B5" s="31" t="inlineStr">
        <is>
          <t>$</t>
        </is>
      </c>
      <c r="C5" s="30" t="inlineStr">
        <is>
          <t>₹94.94 INR per 1 USD (Divide INR by 94.94)</t>
        </is>
      </c>
    </row>
    <row r="6">
      <c r="A6" s="30" t="inlineStr">
        <is>
          <t>AED</t>
        </is>
      </c>
      <c r="B6" s="31" t="inlineStr">
        <is>
          <t>AED</t>
        </is>
      </c>
      <c r="C6" s="30" t="inlineStr">
        <is>
          <t>₹25.85 INR per 1 AED (Divide INR by 25.85)</t>
        </is>
      </c>
    </row>
    <row r="8">
      <c r="A8" s="32" t="inlineStr">
        <is>
          <t>Expense Category</t>
        </is>
      </c>
      <c r="B8" s="32" t="inlineStr">
        <is>
          <t>Base INR (₹)</t>
        </is>
      </c>
      <c r="C8" s="32" t="inlineStr">
        <is>
          <t>Converted USD ($)</t>
        </is>
      </c>
      <c r="D8" s="32" t="inlineStr">
        <is>
          <t>Converted AED</t>
        </is>
      </c>
    </row>
    <row r="9">
      <c r="A9" s="31" t="inlineStr">
        <is>
          <t>Office Rent &amp; Co-working</t>
        </is>
      </c>
      <c r="B9" s="33" t="n">
        <v>25000</v>
      </c>
      <c r="C9" s="34">
        <f>B9/94.94</f>
        <v/>
      </c>
      <c r="D9" s="35">
        <f>B9/25.85</f>
        <v/>
      </c>
    </row>
    <row r="10">
      <c r="A10" s="31" t="inlineStr">
        <is>
          <t>Software Tools (SEMrush, Canva, HubSpot)</t>
        </is>
      </c>
      <c r="B10" s="33" t="n">
        <v>12000</v>
      </c>
      <c r="C10" s="34">
        <f>B10/94.94</f>
        <v/>
      </c>
      <c r="D10" s="35">
        <f>B10/25.85</f>
        <v/>
      </c>
    </row>
    <row r="11">
      <c r="A11" s="31" t="inlineStr">
        <is>
          <t>Utilities, Internet &amp; Misc</t>
        </is>
      </c>
      <c r="B11" s="33" t="n">
        <v>8000</v>
      </c>
      <c r="C11" s="34">
        <f>B11/94.94</f>
        <v/>
      </c>
      <c r="D11" s="35">
        <f>B11/25.85</f>
        <v/>
      </c>
    </row>
    <row r="12">
      <c r="A12" s="30" t="inlineStr">
        <is>
          <t>TOTAL MONTHLY OVERHEAD</t>
        </is>
      </c>
      <c r="B12" s="36">
        <f>SUM(B9:B11)</f>
        <v/>
      </c>
      <c r="C12" s="37">
        <f>SUM(C9:C11)</f>
        <v/>
      </c>
      <c r="D12" s="38">
        <f>SUM(D9:D11)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2026-10-25T06:49:16Z</dcterms:created>
  <dcterms:modified xmlns:dcterms="http://purl.org/dc/terms/" xmlns:xsi="http://www.w3.org/2001/XMLSchema-instance" xsi:type="dcterms:W3CDTF">2026-10-25T06:49:17Z</dcterms:modified>
</cp:coreProperties>
</file>